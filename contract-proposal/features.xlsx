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svn\UOF\家樂福UOF\1. 產品導入\"/>
    </mc:Choice>
  </mc:AlternateContent>
  <xr:revisionPtr revIDLastSave="0" documentId="13_ncr:1_{701641E3-C3FE-439E-A7C0-3FDD5011E01D}" xr6:coauthVersionLast="47" xr6:coauthVersionMax="47" xr10:uidLastSave="{00000000-0000-0000-0000-000000000000}"/>
  <bookViews>
    <workbookView xWindow="-110" yWindow="-110" windowWidth="19420" windowHeight="11500" tabRatio="801" xr2:uid="{00000000-000D-0000-FFFF-FFFF00000000}"/>
  </bookViews>
  <sheets>
    <sheet name="家福UOF" sheetId="20" r:id="rId1"/>
    <sheet name="統計分析" sheetId="6" state="hidden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1" i="20" l="1"/>
  <c r="B6" i="20"/>
  <c r="B7" i="20"/>
  <c r="B8" i="20"/>
  <c r="B9" i="20"/>
  <c r="B10" i="20"/>
  <c r="B12" i="20"/>
  <c r="B5" i="20"/>
  <c r="B3" i="20"/>
  <c r="H13" i="20"/>
</calcChain>
</file>

<file path=xl/sharedStrings.xml><?xml version="1.0" encoding="utf-8"?>
<sst xmlns="http://schemas.openxmlformats.org/spreadsheetml/2006/main" count="84" uniqueCount="51">
  <si>
    <t>(空白)</t>
  </si>
  <si>
    <t>總計</t>
  </si>
  <si>
    <t>模組代號</t>
  </si>
  <si>
    <t>類別</t>
  </si>
  <si>
    <t>(空白) 合計</t>
  </si>
  <si>
    <t>FP數</t>
  </si>
  <si>
    <t>難件數</t>
  </si>
  <si>
    <t>中件數</t>
  </si>
  <si>
    <t>易件數</t>
  </si>
  <si>
    <t>OWNER</t>
  </si>
  <si>
    <t>模組資料統計</t>
  </si>
  <si>
    <t>功能件數</t>
  </si>
  <si>
    <t>類別資料統計</t>
  </si>
  <si>
    <t>OWNER資料統計</t>
  </si>
  <si>
    <t>項次</t>
    <phoneticPr fontId="5" type="noConversion"/>
  </si>
  <si>
    <t>模組名稱</t>
    <phoneticPr fontId="5" type="noConversion"/>
  </si>
  <si>
    <t>業務別</t>
    <phoneticPr fontId="5" type="noConversion"/>
  </si>
  <si>
    <t>備註說明</t>
    <phoneticPr fontId="5" type="noConversion"/>
  </si>
  <si>
    <t>功能簡要描述</t>
    <phoneticPr fontId="5" type="noConversion"/>
  </si>
  <si>
    <t>功能名稱</t>
    <phoneticPr fontId="5" type="noConversion"/>
  </si>
  <si>
    <t>報表</t>
  </si>
  <si>
    <t>維護</t>
  </si>
  <si>
    <t>頁面</t>
    <phoneticPr fontId="5" type="noConversion"/>
  </si>
  <si>
    <t>功能類別</t>
    <phoneticPr fontId="5" type="noConversion"/>
  </si>
  <si>
    <t>工期(月)</t>
    <phoneticPr fontId="5" type="noConversion"/>
  </si>
  <si>
    <t>維護</t>
    <phoneticPr fontId="5" type="noConversion"/>
  </si>
  <si>
    <t>合約建立與簽核</t>
    <phoneticPr fontId="5" type="noConversion"/>
  </si>
  <si>
    <t>合約文件比對</t>
    <phoneticPr fontId="5" type="noConversion"/>
  </si>
  <si>
    <t>提醒與通知機制</t>
    <phoneticPr fontId="5" type="noConversion"/>
  </si>
  <si>
    <t>系統整合</t>
    <phoneticPr fontId="5" type="noConversion"/>
  </si>
  <si>
    <t>組織結構、帳號同步</t>
    <phoneticPr fontId="5" type="noConversion"/>
  </si>
  <si>
    <t>a.根據合約日期(到期前90/30日)自動觸發續約或逾期提醒
b. 排程檢核合約到期日， Email通知待續約/逾期清單</t>
    <phoneticPr fontId="5" type="noConversion"/>
  </si>
  <si>
    <t>排程</t>
    <phoneticPr fontId="5" type="noConversion"/>
  </si>
  <si>
    <t>a. 表單設計
b. 依不同類型合約及用途，跑不同流程</t>
    <phoneticPr fontId="5" type="noConversion"/>
  </si>
  <si>
    <t>身份驗證整合</t>
    <phoneticPr fontId="5" type="noConversion"/>
  </si>
  <si>
    <t>合約匯出/匯出 API</t>
    <phoneticPr fontId="5" type="noConversion"/>
  </si>
  <si>
    <t>用印申請管理表單</t>
    <phoneticPr fontId="5" type="noConversion"/>
  </si>
  <si>
    <t>合約審核管理表單</t>
    <phoneticPr fontId="5" type="noConversion"/>
  </si>
  <si>
    <t>頁面</t>
    <phoneticPr fontId="5" type="noConversion"/>
  </si>
  <si>
    <t>制式合約表單</t>
    <phoneticPr fontId="5" type="noConversion"/>
  </si>
  <si>
    <t>a. 表單設計
b. 審核流程設計
c. 建立歸檔流程，並對未完成歸檔的合約自動發送稽催通知</t>
    <phoneticPr fontId="5" type="noConversion"/>
  </si>
  <si>
    <t>a. 表單設計
b. 合約主檔設計
c. 審核流程設計
d. 建立歸檔流程，並對未完成歸檔的合約自動發送稽催通知
e. 合約套印</t>
    <phoneticPr fontId="5" type="noConversion"/>
  </si>
  <si>
    <t>a. 定期排程從HR系統同步組織、帳號</t>
    <phoneticPr fontId="5" type="noConversion"/>
  </si>
  <si>
    <t>a. 合約總覽查詢、匯出清單、列印報表
b. 即期合約查詢、匯出清單、列印報表
c. 未歸檔合約查詢、匯出清單、列印報表</t>
    <phoneticPr fontId="5" type="noConversion"/>
  </si>
  <si>
    <t>合約相關報表</t>
    <phoneticPr fontId="5" type="noConversion"/>
  </si>
  <si>
    <t>a. 合約選擇操作頁面設計
b. 呼叫AI判讀以文字PDF比對廠商用印紙本掃瞄檔
c. 接收AI判讀結果，並於網頁提示</t>
    <phoneticPr fontId="5" type="noConversion"/>
  </si>
  <si>
    <t>參數設計</t>
    <phoneticPr fontId="5" type="noConversion"/>
  </si>
  <si>
    <t>表單相關參數設計</t>
    <phoneticPr fontId="5" type="noConversion"/>
  </si>
  <si>
    <t>a. 用印類型清單
b. 用印用途清單
c. 區域清單</t>
    <phoneticPr fontId="5" type="noConversion"/>
  </si>
  <si>
    <t>a. ISIM 密碼系統整合</t>
    <phoneticPr fontId="5" type="noConversion"/>
  </si>
  <si>
    <t>a. 提供合約匯入/匯出API，供其他系統串接
b. 掃描器結果轉入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</si>
</sst>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76" formatCode="_-* #,##0_-;\-* #,##0_-;_-* &quot;-&quot;??_-;_-@_-"/>
  </numFmts>
  <fonts count="9" x14ac:knownFonts="1">
    <font>
      <sz val="12"/>
      <name val="新細明體"/>
      <family val="1"/>
      <charset val="136"/>
    </font>
    <font>
      <sz val="11"/>
      <color theme="1"/>
      <name val="微軟正黑體"/>
      <family val="2"/>
      <charset val="136"/>
    </font>
    <font>
      <sz val="12"/>
      <name val="Times New Roman"/>
      <family val="1"/>
    </font>
    <font>
      <sz val="12"/>
      <name val="新細明體"/>
      <family val="1"/>
      <charset val="136"/>
    </font>
    <font>
      <u/>
      <sz val="12"/>
      <color indexed="12"/>
      <name val="新細明體"/>
      <family val="1"/>
      <charset val="136"/>
    </font>
    <font>
      <sz val="9"/>
      <name val="新細明體"/>
      <family val="1"/>
      <charset val="136"/>
    </font>
    <font>
      <sz val="11"/>
      <name val="微軟正黑體"/>
      <family val="2"/>
      <charset val="136"/>
    </font>
    <font>
      <sz val="10"/>
      <color theme="1"/>
      <name val="Comic Sans MS"/>
      <family val="4"/>
    </font>
    <font>
      <sz val="11"/>
      <color theme="1"/>
      <name val="Comic Sans MS"/>
      <family val="4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5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0" fontId="2" fillId="0" borderId="0"/>
    <xf numFmtId="0" fontId="3" fillId="0" borderId="0">
      <alignment vertical="center"/>
    </xf>
    <xf numFmtId="0" fontId="2" fillId="0" borderId="0"/>
    <xf numFmtId="0" fontId="4" fillId="0" borderId="0" applyNumberFormat="0" applyFill="0" applyBorder="0" applyAlignment="0" applyProtection="0">
      <alignment vertical="top"/>
      <protection locked="0"/>
    </xf>
    <xf numFmtId="43" fontId="3" fillId="0" borderId="0" applyFont="0" applyFill="0" applyBorder="0" applyAlignment="0" applyProtection="0">
      <alignment vertical="center"/>
    </xf>
  </cellStyleXfs>
  <cellXfs count="30"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1" xfId="0" pivotButton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1" xfId="0" applyNumberFormat="1" applyBorder="1" applyAlignment="1">
      <alignment vertical="center"/>
    </xf>
    <xf numFmtId="0" fontId="0" fillId="0" borderId="6" xfId="0" applyNumberFormat="1" applyBorder="1" applyAlignment="1">
      <alignment vertical="center"/>
    </xf>
    <xf numFmtId="0" fontId="0" fillId="0" borderId="4" xfId="0" applyNumberFormat="1" applyBorder="1" applyAlignment="1">
      <alignment vertical="center"/>
    </xf>
    <xf numFmtId="0" fontId="0" fillId="0" borderId="7" xfId="0" applyNumberForma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NumberFormat="1" applyBorder="1" applyAlignment="1">
      <alignment vertical="center"/>
    </xf>
    <xf numFmtId="0" fontId="0" fillId="0" borderId="9" xfId="0" applyNumberForma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0" xfId="3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1" fillId="3" borderId="10" xfId="4" applyFont="1" applyFill="1" applyBorder="1" applyAlignment="1" applyProtection="1">
      <alignment horizontal="left" vertical="top" wrapText="1"/>
    </xf>
    <xf numFmtId="0" fontId="1" fillId="3" borderId="10" xfId="4" applyFont="1" applyFill="1" applyBorder="1" applyAlignment="1" applyProtection="1">
      <alignment horizontal="left" vertical="center"/>
    </xf>
    <xf numFmtId="0" fontId="1" fillId="3" borderId="10" xfId="4" applyFont="1" applyFill="1" applyBorder="1" applyAlignment="1" applyProtection="1">
      <alignment horizontal="left" vertical="center" wrapText="1"/>
    </xf>
    <xf numFmtId="0" fontId="7" fillId="4" borderId="10" xfId="0" applyFont="1" applyFill="1" applyBorder="1" applyAlignment="1">
      <alignment horizontal="center" vertical="center"/>
    </xf>
    <xf numFmtId="176" fontId="8" fillId="4" borderId="10" xfId="5" applyNumberFormat="1" applyFont="1" applyFill="1" applyBorder="1" applyAlignment="1">
      <alignment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</cellXfs>
  <cellStyles count="6">
    <cellStyle name="0,0_x000d__x000a_NA_x000d__x000a_" xfId="1" xr:uid="{00000000-0005-0000-0000-000000000000}"/>
    <cellStyle name="一般" xfId="0" builtinId="0"/>
    <cellStyle name="一般 2" xfId="2" xr:uid="{00000000-0005-0000-0000-000002000000}"/>
    <cellStyle name="一般_功能清單_新舊對照_進貨_成本_代配送" xfId="3" xr:uid="{00000000-0005-0000-0000-000003000000}"/>
    <cellStyle name="千分位" xfId="5" builtinId="3"/>
    <cellStyle name="超連結" xfId="4" builtinId="8"/>
  </cellStyles>
  <dxfs count="0"/>
  <tableStyles count="1" defaultTableStyle="TableStyleMedium2" defaultPivotStyle="PivotStyleLight16">
    <tableStyle name="Invisible" pivot="0" table="0" count="0" xr9:uid="{2284B44B-A5EE-48C9-B051-E614EFE572F5}"/>
  </tableStyles>
  <colors>
    <mruColors>
      <color rgb="FF0066FF"/>
      <color rgb="FFFF7C80"/>
      <color rgb="FFFFFFCC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P10354266/AppData/Roaming/Microsoft/Excel/RA012_&#21151;&#33021;&#28165;&#21934;PH2_20250624%20(version%201).xlsb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統一資訊員工" refreshedDate="40856.603811458335" createdVersion="1" refreshedVersion="3" recordCount="1501" upgradeOnRefresh="1" xr:uid="{00000000-000A-0000-FFFF-FFFF00000000}">
  <cacheSource type="worksheet">
    <worksheetSource ref="C2:L9" sheet="功能清單_撰寫範例" r:id="rId2"/>
  </cacheSource>
  <cacheFields count="13">
    <cacheField name="模組代號" numFmtId="0">
      <sharedItems containsNonDate="0" containsBlank="1" count="7">
        <m/>
        <s v="ST" u="1"/>
        <s v="FQ" u="1"/>
        <s v="MP" u="1"/>
        <s v="IT" u="1"/>
        <s v="CD" u="1"/>
        <s v="HQ" u="1"/>
      </sharedItems>
    </cacheField>
    <cacheField name="模組名稱" numFmtId="0">
      <sharedItems containsNonDate="0" containsString="0" containsBlank="1"/>
    </cacheField>
    <cacheField name="大分類" numFmtId="0">
      <sharedItems containsNonDate="0" containsString="0" containsBlank="1"/>
    </cacheField>
    <cacheField name="中分類" numFmtId="0">
      <sharedItems containsNonDate="0" containsString="0" containsBlank="1"/>
    </cacheField>
    <cacheField name="功能代號" numFmtId="0">
      <sharedItems containsNonDate="0" containsString="0" containsBlank="1"/>
    </cacheField>
    <cacheField name="功能名稱" numFmtId="0">
      <sharedItems containsNonDate="0" containsString="0" containsBlank="1"/>
    </cacheField>
    <cacheField name="OWNER" numFmtId="0">
      <sharedItems containsNonDate="0" containsBlank="1" count="4">
        <m/>
        <s v="瑞貞" u="1"/>
        <s v="文珊" u="1"/>
        <s v="舒玄" u="1"/>
      </sharedItems>
    </cacheField>
    <cacheField name="類別" numFmtId="0">
      <sharedItems containsNonDate="0" containsBlank="1" count="6">
        <m/>
        <s v="Q" u="1"/>
        <s v="M" u="1"/>
        <s v="R" u="1"/>
        <s v="T" u="1"/>
        <s v="P" u="1"/>
      </sharedItems>
    </cacheField>
    <cacheField name="FP" numFmtId="0">
      <sharedItems containsBlank="1"/>
    </cacheField>
    <cacheField name="難易度_x000a_(A,B,C)" numFmtId="0">
      <sharedItems containsBlank="1"/>
    </cacheField>
    <cacheField name="難" numFmtId="0">
      <sharedItems containsNonDate="0" containsString="0" containsBlank="1"/>
    </cacheField>
    <cacheField name="中" numFmtId="0">
      <sharedItems containsNonDate="0" containsString="0" containsBlank="1"/>
    </cacheField>
    <cacheField name="易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1"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s v=""/>
    <s v=""/>
    <m/>
    <m/>
    <m/>
  </r>
  <r>
    <x v="0"/>
    <m/>
    <m/>
    <m/>
    <m/>
    <m/>
    <x v="0"/>
    <x v="0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樞紐分析表5" cacheId="0" applyNumberFormats="0" applyBorderFormats="0" applyFontFormats="0" applyPatternFormats="0" applyAlignmentFormats="0" applyWidthHeightFormats="1" dataCaption="模組資料統計" updatedVersion="3" showMemberPropertyTips="0" useAutoFormatting="1" itemPrintTitles="1" createdVersion="1" indent="0" compact="0" compactData="0" gridDropZones="1">
  <location ref="I1:O5" firstHeaderRow="1" firstDataRow="2" firstDataCol="2"/>
  <pivotFields count="13">
    <pivotField axis="axisRow" compact="0" outline="0" subtotalTop="0" showAll="0" includeNewItemsInFilter="1">
      <items count="8">
        <item m="1" x="5"/>
        <item m="1" x="2"/>
        <item m="1" x="6"/>
        <item m="1" x="4"/>
        <item m="1" x="3"/>
        <item m="1" x="1"/>
        <item x="0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>
      <items count="7">
        <item m="1" x="2"/>
        <item m="1" x="5"/>
        <item m="1" x="1"/>
        <item m="1" x="3"/>
        <item m="1" x="4"/>
        <item x="0"/>
        <item t="default"/>
      </items>
    </pivotField>
    <pivotField dataField="1"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</pivotFields>
  <rowFields count="2">
    <field x="0"/>
    <field x="7"/>
  </rowFields>
  <rowItems count="3">
    <i>
      <x v="6"/>
      <x v="5"/>
    </i>
    <i t="default">
      <x v="6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功能件數" fld="4" subtotal="count" baseField="0" baseItem="0"/>
    <dataField name="FP數" fld="8" baseField="0" baseItem="0"/>
    <dataField name="難件數" fld="10" subtotal="count" baseField="0" baseItem="0"/>
    <dataField name="中件數" fld="11" subtotal="count" baseField="0" baseItem="0"/>
    <dataField name="易件數" fld="12" subtotal="count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樞紐分析表6" cacheId="0" applyNumberFormats="0" applyBorderFormats="0" applyFontFormats="0" applyPatternFormats="0" applyAlignmentFormats="0" applyWidthHeightFormats="1" dataCaption="OWNER資料統計" updatedVersion="3" showMemberPropertyTips="0" useAutoFormatting="1" itemPrintTitles="1" createdVersion="1" indent="0" compact="0" compactData="0" gridDropZones="1">
  <location ref="Q1:W5" firstHeaderRow="1" firstDataRow="2" firstDataCol="2"/>
  <pivotFields count="13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>
      <items count="5">
        <item m="1" x="2"/>
        <item m="1" x="3"/>
        <item m="1" x="1"/>
        <item x="0"/>
        <item t="default"/>
      </items>
    </pivotField>
    <pivotField axis="axisRow" compact="0" outline="0" subtotalTop="0" showAll="0" includeNewItemsInFilter="1">
      <items count="7">
        <item m="1" x="2"/>
        <item m="1" x="5"/>
        <item m="1" x="1"/>
        <item m="1" x="3"/>
        <item m="1" x="4"/>
        <item x="0"/>
        <item t="default"/>
      </items>
    </pivotField>
    <pivotField dataField="1"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</pivotFields>
  <rowFields count="2">
    <field x="6"/>
    <field x="7"/>
  </rowFields>
  <rowItems count="3">
    <i>
      <x v="3"/>
      <x v="5"/>
    </i>
    <i t="default">
      <x v="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功能件數" fld="4" subtotal="count" baseField="0" baseItem="0"/>
    <dataField name="FP數" fld="8" baseField="0" baseItem="0"/>
    <dataField name="難件數" fld="10" subtotal="count" baseField="0" baseItem="0"/>
    <dataField name="中件數" fld="11" subtotal="count" baseField="0" baseItem="0"/>
    <dataField name="易件數" fld="12" subtotal="count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樞紐分析表4" cacheId="0" applyNumberFormats="0" applyBorderFormats="0" applyFontFormats="0" applyPatternFormats="0" applyAlignmentFormats="0" applyWidthHeightFormats="1" dataCaption="類別資料統計" updatedVersion="3" showMemberPropertyTips="0" useAutoFormatting="1" itemPrintTitles="1" createdVersion="1" indent="0" compact="0" compactData="0" gridDropZones="1">
  <location ref="A1:F4" firstHeaderRow="1" firstDataRow="2" firstDataCol="1"/>
  <pivotFields count="13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>
      <items count="7">
        <item m="1" x="2"/>
        <item m="1" x="5"/>
        <item m="1" x="1"/>
        <item m="1" x="3"/>
        <item m="1" x="4"/>
        <item x="0"/>
        <item t="default"/>
      </items>
    </pivotField>
    <pivotField dataField="1"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</pivotFields>
  <rowFields count="1">
    <field x="7"/>
  </rowFields>
  <rowItems count="2">
    <i>
      <x v="5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功能件數" fld="4" subtotal="count" baseField="0" baseItem="0"/>
    <dataField name="FP數" fld="8" baseField="0" baseItem="0"/>
    <dataField name="難件數" fld="10" subtotal="count" baseField="0" baseItem="0"/>
    <dataField name="中件數" fld="11" subtotal="count" baseField="0" baseItem="0"/>
    <dataField name="易件數" fld="12" subtotal="count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F9805-5A02-49B2-A49F-292428B944A9}">
  <dimension ref="B1:I13"/>
  <sheetViews>
    <sheetView tabSelected="1" zoomScale="85" zoomScaleNormal="85" workbookViewId="0">
      <selection activeCell="N8" sqref="N8"/>
    </sheetView>
  </sheetViews>
  <sheetFormatPr defaultColWidth="9" defaultRowHeight="14.5" x14ac:dyDescent="0.4"/>
  <cols>
    <col min="1" max="1" width="0.453125" style="15" customWidth="1"/>
    <col min="2" max="2" width="9.453125" style="15" bestFit="1" customWidth="1"/>
    <col min="3" max="3" width="10.90625" style="15" bestFit="1" customWidth="1"/>
    <col min="4" max="5" width="9" style="15"/>
    <col min="6" max="6" width="20.453125" style="15" customWidth="1"/>
    <col min="7" max="7" width="57.1796875" style="21" bestFit="1" customWidth="1"/>
    <col min="8" max="8" width="9.36328125" style="15" bestFit="1" customWidth="1"/>
    <col min="9" max="9" width="13.26953125" style="15" customWidth="1"/>
    <col min="10" max="16384" width="9" style="15"/>
  </cols>
  <sheetData>
    <row r="1" spans="2:9" ht="4.5" customHeight="1" x14ac:dyDescent="0.4"/>
    <row r="2" spans="2:9" x14ac:dyDescent="0.4">
      <c r="B2" s="17" t="s">
        <v>14</v>
      </c>
      <c r="C2" s="17" t="s">
        <v>15</v>
      </c>
      <c r="D2" s="17" t="s">
        <v>23</v>
      </c>
      <c r="E2" s="17" t="s">
        <v>16</v>
      </c>
      <c r="F2" s="17" t="s">
        <v>19</v>
      </c>
      <c r="G2" s="22" t="s">
        <v>18</v>
      </c>
      <c r="H2" s="17" t="s">
        <v>24</v>
      </c>
      <c r="I2" s="17" t="s">
        <v>17</v>
      </c>
    </row>
    <row r="3" spans="2:9" ht="43.5" x14ac:dyDescent="0.4">
      <c r="B3" s="18">
        <f>ROW()-2</f>
        <v>1</v>
      </c>
      <c r="C3" s="28" t="s">
        <v>26</v>
      </c>
      <c r="D3" s="20" t="s">
        <v>22</v>
      </c>
      <c r="E3" s="19" t="s">
        <v>21</v>
      </c>
      <c r="F3" s="24" t="s">
        <v>37</v>
      </c>
      <c r="G3" s="23" t="s">
        <v>40</v>
      </c>
      <c r="H3" s="26">
        <v>1</v>
      </c>
      <c r="I3" s="27"/>
    </row>
    <row r="4" spans="2:9" ht="72.5" x14ac:dyDescent="0.4">
      <c r="B4" s="18">
        <v>2</v>
      </c>
      <c r="C4" s="29"/>
      <c r="D4" s="20" t="s">
        <v>38</v>
      </c>
      <c r="E4" s="19" t="s">
        <v>21</v>
      </c>
      <c r="F4" s="24" t="s">
        <v>39</v>
      </c>
      <c r="G4" s="23" t="s">
        <v>41</v>
      </c>
      <c r="H4" s="26">
        <v>1</v>
      </c>
      <c r="I4" s="27"/>
    </row>
    <row r="5" spans="2:9" ht="29" x14ac:dyDescent="0.4">
      <c r="B5" s="18">
        <f>ROW()-2</f>
        <v>3</v>
      </c>
      <c r="C5" s="29"/>
      <c r="D5" s="20" t="s">
        <v>22</v>
      </c>
      <c r="E5" s="19" t="s">
        <v>21</v>
      </c>
      <c r="F5" s="25" t="s">
        <v>36</v>
      </c>
      <c r="G5" s="23" t="s">
        <v>33</v>
      </c>
      <c r="H5" s="26">
        <v>0.5</v>
      </c>
      <c r="I5" s="27"/>
    </row>
    <row r="6" spans="2:9" ht="43.5" x14ac:dyDescent="0.4">
      <c r="B6" s="18">
        <f t="shared" ref="B6:B12" si="0">ROW()-2</f>
        <v>4</v>
      </c>
      <c r="C6" s="29"/>
      <c r="D6" s="20" t="s">
        <v>22</v>
      </c>
      <c r="E6" s="19" t="s">
        <v>21</v>
      </c>
      <c r="F6" s="25" t="s">
        <v>27</v>
      </c>
      <c r="G6" s="23" t="s">
        <v>45</v>
      </c>
      <c r="H6" s="26">
        <v>2</v>
      </c>
      <c r="I6" s="27"/>
    </row>
    <row r="7" spans="2:9" ht="29" x14ac:dyDescent="0.4">
      <c r="B7" s="18">
        <f t="shared" si="0"/>
        <v>5</v>
      </c>
      <c r="C7" s="29"/>
      <c r="D7" s="20" t="s">
        <v>22</v>
      </c>
      <c r="E7" s="19" t="s">
        <v>21</v>
      </c>
      <c r="F7" s="25" t="s">
        <v>28</v>
      </c>
      <c r="G7" s="23" t="s">
        <v>31</v>
      </c>
      <c r="H7" s="26">
        <v>0.5</v>
      </c>
      <c r="I7" s="27"/>
    </row>
    <row r="8" spans="2:9" ht="43.5" x14ac:dyDescent="0.4">
      <c r="B8" s="18">
        <f t="shared" si="0"/>
        <v>6</v>
      </c>
      <c r="C8" s="29"/>
      <c r="D8" s="20" t="s">
        <v>22</v>
      </c>
      <c r="E8" s="19" t="s">
        <v>20</v>
      </c>
      <c r="F8" s="25" t="s">
        <v>44</v>
      </c>
      <c r="G8" s="23" t="s">
        <v>43</v>
      </c>
      <c r="H8" s="26">
        <v>0.5</v>
      </c>
      <c r="I8" s="27"/>
    </row>
    <row r="9" spans="2:9" s="16" customFormat="1" ht="16.5" x14ac:dyDescent="0.4">
      <c r="B9" s="18">
        <f t="shared" si="0"/>
        <v>7</v>
      </c>
      <c r="C9" s="28" t="s">
        <v>29</v>
      </c>
      <c r="D9" s="20" t="s">
        <v>32</v>
      </c>
      <c r="E9" s="19" t="s">
        <v>21</v>
      </c>
      <c r="F9" s="25" t="s">
        <v>30</v>
      </c>
      <c r="G9" s="23" t="s">
        <v>42</v>
      </c>
      <c r="H9" s="26">
        <v>0.5</v>
      </c>
      <c r="I9" s="27"/>
    </row>
    <row r="10" spans="2:9" ht="16.5" x14ac:dyDescent="0.4">
      <c r="B10" s="18">
        <f t="shared" si="0"/>
        <v>8</v>
      </c>
      <c r="C10" s="29"/>
      <c r="D10" s="20" t="s">
        <v>22</v>
      </c>
      <c r="E10" s="19" t="s">
        <v>21</v>
      </c>
      <c r="F10" s="25" t="s">
        <v>34</v>
      </c>
      <c r="G10" s="23" t="s">
        <v>49</v>
      </c>
      <c r="H10" s="26">
        <v>1</v>
      </c>
      <c r="I10" s="27"/>
    </row>
    <row r="11" spans="2:9" ht="29" x14ac:dyDescent="0.4">
      <c r="B11" s="18">
        <f t="shared" si="0"/>
        <v>9</v>
      </c>
      <c r="C11" s="29"/>
      <c r="D11" s="20" t="s">
        <v>22</v>
      </c>
      <c r="E11" s="19" t="s">
        <v>21</v>
      </c>
      <c r="F11" s="25" t="s">
        <v>35</v>
      </c>
      <c r="G11" s="23" t="s">
        <v>50</v>
      </c>
      <c r="H11" s="26">
        <v>0.5</v>
      </c>
      <c r="I11" s="27"/>
    </row>
    <row r="12" spans="2:9" ht="44" customHeight="1" x14ac:dyDescent="0.4">
      <c r="B12" s="18">
        <f t="shared" si="0"/>
        <v>10</v>
      </c>
      <c r="C12" s="18" t="s">
        <v>46</v>
      </c>
      <c r="D12" s="20" t="s">
        <v>22</v>
      </c>
      <c r="E12" s="19" t="s">
        <v>25</v>
      </c>
      <c r="F12" s="25" t="s">
        <v>47</v>
      </c>
      <c r="G12" s="23" t="s">
        <v>48</v>
      </c>
      <c r="H12" s="26">
        <v>0.5</v>
      </c>
      <c r="I12" s="27"/>
    </row>
    <row r="13" spans="2:9" x14ac:dyDescent="0.4">
      <c r="H13" s="15">
        <f>SUM(H3:H12)</f>
        <v>8</v>
      </c>
    </row>
  </sheetData>
  <mergeCells count="2">
    <mergeCell ref="C3:C8"/>
    <mergeCell ref="C9:C11"/>
  </mergeCells>
  <phoneticPr fontId="5" type="noConversion"/>
  <dataValidations count="1">
    <dataValidation type="list" allowBlank="1" showInputMessage="1" showErrorMessage="1" sqref="E3:E12" xr:uid="{8A1ECFFE-61EE-4365-80B5-599D6FC96CC2}">
      <formula1>"維護,查詢,報表"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5"/>
  <sheetViews>
    <sheetView zoomScale="83" zoomScaleNormal="83" workbookViewId="0">
      <selection activeCell="O2" sqref="O2"/>
    </sheetView>
  </sheetViews>
  <sheetFormatPr defaultRowHeight="17" x14ac:dyDescent="0.4"/>
  <cols>
    <col min="1" max="1" width="8.7265625" customWidth="1"/>
    <col min="2" max="2" width="18.453125" customWidth="1"/>
    <col min="3" max="3" width="6.26953125" customWidth="1"/>
    <col min="4" max="7" width="8.453125" bestFit="1" customWidth="1"/>
    <col min="10" max="10" width="8.7265625" bestFit="1" customWidth="1"/>
    <col min="11" max="11" width="18.453125" bestFit="1" customWidth="1"/>
    <col min="12" max="12" width="6.26953125" bestFit="1" customWidth="1"/>
    <col min="13" max="15" width="8.453125" bestFit="1" customWidth="1"/>
    <col min="17" max="18" width="8.7265625" customWidth="1"/>
    <col min="19" max="19" width="22.36328125" customWidth="1"/>
    <col min="20" max="20" width="6.26953125" customWidth="1"/>
    <col min="21" max="23" width="8.453125" customWidth="1"/>
  </cols>
  <sheetData>
    <row r="1" spans="1:23" x14ac:dyDescent="0.4">
      <c r="A1" s="1"/>
      <c r="B1" s="4" t="s">
        <v>12</v>
      </c>
      <c r="C1" s="2"/>
      <c r="D1" s="2"/>
      <c r="E1" s="2"/>
      <c r="F1" s="3"/>
      <c r="I1" s="1"/>
      <c r="J1" s="2"/>
      <c r="K1" s="4" t="s">
        <v>10</v>
      </c>
      <c r="L1" s="2"/>
      <c r="M1" s="2"/>
      <c r="N1" s="2"/>
      <c r="O1" s="3"/>
      <c r="Q1" s="1"/>
      <c r="R1" s="2"/>
      <c r="S1" s="4" t="s">
        <v>13</v>
      </c>
      <c r="T1" s="2"/>
      <c r="U1" s="2"/>
      <c r="V1" s="2"/>
      <c r="W1" s="3"/>
    </row>
    <row r="2" spans="1:23" x14ac:dyDescent="0.4">
      <c r="A2" s="4" t="s">
        <v>3</v>
      </c>
      <c r="B2" s="1" t="s">
        <v>11</v>
      </c>
      <c r="C2" s="12" t="s">
        <v>5</v>
      </c>
      <c r="D2" s="12" t="s">
        <v>6</v>
      </c>
      <c r="E2" s="12" t="s">
        <v>7</v>
      </c>
      <c r="F2" s="7" t="s">
        <v>8</v>
      </c>
      <c r="I2" s="4" t="s">
        <v>2</v>
      </c>
      <c r="J2" s="4" t="s">
        <v>3</v>
      </c>
      <c r="K2" s="1" t="s">
        <v>11</v>
      </c>
      <c r="L2" s="12" t="s">
        <v>5</v>
      </c>
      <c r="M2" s="12" t="s">
        <v>6</v>
      </c>
      <c r="N2" s="12" t="s">
        <v>7</v>
      </c>
      <c r="O2" s="7" t="s">
        <v>8</v>
      </c>
      <c r="Q2" s="4" t="s">
        <v>9</v>
      </c>
      <c r="R2" s="4" t="s">
        <v>3</v>
      </c>
      <c r="S2" s="1" t="s">
        <v>11</v>
      </c>
      <c r="T2" s="12" t="s">
        <v>5</v>
      </c>
      <c r="U2" s="12" t="s">
        <v>6</v>
      </c>
      <c r="V2" s="12" t="s">
        <v>7</v>
      </c>
      <c r="W2" s="7" t="s">
        <v>8</v>
      </c>
    </row>
    <row r="3" spans="1:23" x14ac:dyDescent="0.4">
      <c r="A3" s="1" t="s">
        <v>0</v>
      </c>
      <c r="B3" s="8"/>
      <c r="C3" s="13">
        <v>0</v>
      </c>
      <c r="D3" s="13"/>
      <c r="E3" s="13"/>
      <c r="F3" s="9"/>
      <c r="I3" s="1" t="s">
        <v>0</v>
      </c>
      <c r="J3" s="1" t="s">
        <v>0</v>
      </c>
      <c r="K3" s="8"/>
      <c r="L3" s="13">
        <v>0</v>
      </c>
      <c r="M3" s="13"/>
      <c r="N3" s="13"/>
      <c r="O3" s="9"/>
      <c r="Q3" s="1" t="s">
        <v>0</v>
      </c>
      <c r="R3" s="1" t="s">
        <v>0</v>
      </c>
      <c r="S3" s="8"/>
      <c r="T3" s="13">
        <v>0</v>
      </c>
      <c r="U3" s="13"/>
      <c r="V3" s="13"/>
      <c r="W3" s="9"/>
    </row>
    <row r="4" spans="1:23" x14ac:dyDescent="0.4">
      <c r="A4" s="5" t="s">
        <v>1</v>
      </c>
      <c r="B4" s="10"/>
      <c r="C4" s="14">
        <v>0</v>
      </c>
      <c r="D4" s="14"/>
      <c r="E4" s="14"/>
      <c r="F4" s="11"/>
      <c r="I4" s="1" t="s">
        <v>4</v>
      </c>
      <c r="J4" s="2"/>
      <c r="K4" s="8"/>
      <c r="L4" s="13">
        <v>0</v>
      </c>
      <c r="M4" s="13"/>
      <c r="N4" s="13"/>
      <c r="O4" s="9"/>
      <c r="Q4" s="1" t="s">
        <v>4</v>
      </c>
      <c r="R4" s="2"/>
      <c r="S4" s="8"/>
      <c r="T4" s="13">
        <v>0</v>
      </c>
      <c r="U4" s="13"/>
      <c r="V4" s="13"/>
      <c r="W4" s="9"/>
    </row>
    <row r="5" spans="1:23" x14ac:dyDescent="0.4">
      <c r="I5" s="5" t="s">
        <v>1</v>
      </c>
      <c r="J5" s="6"/>
      <c r="K5" s="10"/>
      <c r="L5" s="14">
        <v>0</v>
      </c>
      <c r="M5" s="14"/>
      <c r="N5" s="14"/>
      <c r="O5" s="11"/>
      <c r="Q5" s="5" t="s">
        <v>1</v>
      </c>
      <c r="R5" s="6"/>
      <c r="S5" s="10"/>
      <c r="T5" s="14">
        <v>0</v>
      </c>
      <c r="U5" s="14"/>
      <c r="V5" s="14"/>
      <c r="W5" s="11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家福UOF</vt:lpstr>
      <vt:lpstr>統計分析</vt:lpstr>
    </vt:vector>
  </TitlesOfParts>
  <Company>統一資訊(股)公司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陳映彤</dc:creator>
  <cp:lastModifiedBy>楊聖幟</cp:lastModifiedBy>
  <dcterms:created xsi:type="dcterms:W3CDTF">2009-03-19T06:26:40Z</dcterms:created>
  <dcterms:modified xsi:type="dcterms:W3CDTF">2026-03-02T08:03:52Z</dcterms:modified>
</cp:coreProperties>
</file>